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TDS Sheet" sheetId="2" r:id="rId2"/>
  </sheets>
  <definedNames>
    <definedName name="_xlnm._FilterDatabase" localSheetId="0" hidden="1">Sheet1!$I$1:$I$26</definedName>
  </definedNames>
  <calcPr calcId="152511"/>
</workbook>
</file>

<file path=xl/calcChain.xml><?xml version="1.0" encoding="utf-8"?>
<calcChain xmlns="http://schemas.openxmlformats.org/spreadsheetml/2006/main">
  <c r="F66" i="1" l="1"/>
  <c r="G66" i="1"/>
  <c r="F65" i="1"/>
  <c r="G65" i="1" s="1"/>
  <c r="F64" i="1"/>
  <c r="G64" i="1" s="1"/>
  <c r="H64" i="1" s="1"/>
  <c r="F63" i="1"/>
  <c r="G63" i="1"/>
  <c r="H63" i="1"/>
  <c r="H62" i="1"/>
  <c r="G62" i="1"/>
  <c r="F62" i="1"/>
  <c r="F61" i="1"/>
  <c r="G61" i="1" s="1"/>
  <c r="H61" i="1" s="1"/>
  <c r="F60" i="1"/>
  <c r="G60" i="1"/>
  <c r="H60" i="1"/>
  <c r="F59" i="1"/>
  <c r="G59" i="1" s="1"/>
  <c r="H59" i="1" s="1"/>
  <c r="F58" i="1"/>
  <c r="H58" i="1" s="1"/>
  <c r="G58" i="1"/>
  <c r="F57" i="1"/>
  <c r="G57" i="1" s="1"/>
  <c r="F56" i="1"/>
  <c r="H56" i="1" s="1"/>
  <c r="G56" i="1"/>
  <c r="F55" i="1"/>
  <c r="G55" i="1" s="1"/>
  <c r="F54" i="1"/>
  <c r="G54" i="1"/>
  <c r="H54" i="1"/>
  <c r="F53" i="1"/>
  <c r="G53" i="1"/>
  <c r="H53" i="1" s="1"/>
  <c r="F52" i="1"/>
  <c r="G52" i="1"/>
  <c r="H52" i="1"/>
  <c r="F51" i="1"/>
  <c r="G51" i="1"/>
  <c r="H51" i="1" s="1"/>
  <c r="F50" i="1"/>
  <c r="G50" i="1" s="1"/>
  <c r="F49" i="1"/>
  <c r="G49" i="1"/>
  <c r="H49" i="1" s="1"/>
  <c r="H66" i="1" l="1"/>
  <c r="H65" i="1"/>
  <c r="H57" i="1"/>
  <c r="H55" i="1"/>
  <c r="H50" i="1"/>
  <c r="H47" i="1" l="1"/>
  <c r="H48" i="1"/>
  <c r="H45" i="1"/>
  <c r="G47" i="1"/>
  <c r="G48" i="1"/>
  <c r="G45" i="1"/>
  <c r="F46" i="1"/>
  <c r="F47" i="1"/>
  <c r="F48" i="1"/>
  <c r="F45" i="1"/>
  <c r="G46" i="1" l="1"/>
  <c r="H46" i="1" s="1"/>
  <c r="F36" i="1"/>
  <c r="F37" i="1"/>
  <c r="F38" i="1"/>
  <c r="G38" i="1" s="1"/>
  <c r="F39" i="1"/>
  <c r="F40" i="1"/>
  <c r="F41" i="1"/>
  <c r="F42" i="1"/>
  <c r="F43" i="1"/>
  <c r="F44" i="1"/>
  <c r="H38" i="1" l="1"/>
  <c r="G43" i="1"/>
  <c r="H43" i="1" s="1"/>
  <c r="G44" i="1"/>
  <c r="H44" i="1" s="1"/>
  <c r="G42" i="1"/>
  <c r="H42" i="1" s="1"/>
  <c r="G41" i="1"/>
  <c r="H41" i="1" s="1"/>
  <c r="G40" i="1"/>
  <c r="H40" i="1" s="1"/>
  <c r="G39" i="1"/>
  <c r="H39" i="1" s="1"/>
  <c r="G36" i="1"/>
  <c r="H36" i="1" s="1"/>
  <c r="G37" i="1"/>
  <c r="H37" i="1" s="1"/>
  <c r="H28" i="1"/>
  <c r="G28" i="1"/>
  <c r="F26" i="1"/>
  <c r="G26" i="1" s="1"/>
  <c r="H26" i="1" s="1"/>
  <c r="G27" i="1"/>
  <c r="F30" i="1"/>
  <c r="G30" i="1" s="1"/>
  <c r="H30" i="1" s="1"/>
  <c r="F31" i="1"/>
  <c r="G31" i="1" s="1"/>
  <c r="F32" i="1"/>
  <c r="G32" i="1" s="1"/>
  <c r="F33" i="1"/>
  <c r="F34" i="1"/>
  <c r="G34" i="1" s="1"/>
  <c r="F35" i="1"/>
  <c r="F28" i="1"/>
  <c r="F29" i="1"/>
  <c r="F27" i="1"/>
  <c r="F25" i="1"/>
  <c r="G25" i="1" s="1"/>
  <c r="G35" i="1" l="1"/>
  <c r="H35" i="1" s="1"/>
  <c r="K58" i="1"/>
  <c r="H34" i="1"/>
  <c r="G33" i="1"/>
  <c r="H33" i="1" s="1"/>
  <c r="H32" i="1"/>
  <c r="H31" i="1"/>
  <c r="G29" i="1"/>
  <c r="H29" i="1" s="1"/>
  <c r="H27" i="1"/>
  <c r="H25" i="1"/>
  <c r="F3" i="1"/>
  <c r="C7" i="2"/>
  <c r="B7" i="2"/>
  <c r="A7" i="2"/>
  <c r="C4" i="2"/>
  <c r="B4" i="2"/>
  <c r="A4" i="2"/>
  <c r="F20" i="1"/>
  <c r="K61" i="1" l="1"/>
  <c r="G20" i="1"/>
  <c r="H20" i="1" s="1"/>
  <c r="F22" i="1"/>
  <c r="G22" i="1" s="1"/>
  <c r="F23" i="1"/>
  <c r="F24" i="1"/>
  <c r="G24" i="1" s="1"/>
  <c r="H24" i="1" l="1"/>
  <c r="G23" i="1"/>
  <c r="H23" i="1" s="1"/>
  <c r="H22" i="1"/>
  <c r="F19" i="1"/>
  <c r="G19" i="1" s="1"/>
  <c r="F21" i="1"/>
  <c r="G21" i="1" l="1"/>
  <c r="H21" i="1" s="1"/>
  <c r="F18" i="1"/>
  <c r="G18" i="1" s="1"/>
  <c r="H18" i="1" s="1"/>
  <c r="H19" i="1" l="1"/>
  <c r="F5" i="1"/>
  <c r="G5" i="1" s="1"/>
  <c r="F6" i="1"/>
  <c r="F7" i="1"/>
  <c r="G7" i="1" s="1"/>
  <c r="F8" i="1"/>
  <c r="G8" i="1" s="1"/>
  <c r="H8" i="1" s="1"/>
  <c r="F9" i="1"/>
  <c r="G9" i="1" s="1"/>
  <c r="F10" i="1"/>
  <c r="F11" i="1"/>
  <c r="F12" i="1"/>
  <c r="G12" i="1" s="1"/>
  <c r="H12" i="1" s="1"/>
  <c r="G3" i="1"/>
  <c r="F14" i="1"/>
  <c r="G14" i="1" s="1"/>
  <c r="H14" i="1" s="1"/>
  <c r="F15" i="1"/>
  <c r="G15" i="1" s="1"/>
  <c r="H15" i="1" s="1"/>
  <c r="F13" i="1"/>
  <c r="G13" i="1" s="1"/>
  <c r="H13" i="1" s="1"/>
  <c r="F2" i="1"/>
  <c r="G2" i="1" s="1"/>
  <c r="F16" i="1"/>
  <c r="G16" i="1" s="1"/>
  <c r="F17" i="1"/>
  <c r="G17" i="1" s="1"/>
  <c r="H17" i="1" s="1"/>
  <c r="F4" i="1"/>
  <c r="G4" i="1" s="1"/>
  <c r="H7" i="1" l="1"/>
  <c r="J58" i="1"/>
  <c r="L58" i="1"/>
  <c r="H4" i="1"/>
  <c r="H3" i="1"/>
  <c r="H5" i="1"/>
  <c r="G6" i="1"/>
  <c r="H16" i="1"/>
  <c r="H2" i="1"/>
  <c r="G11" i="1"/>
  <c r="H11" i="1" s="1"/>
  <c r="G10" i="1"/>
  <c r="H10" i="1" s="1"/>
  <c r="H9" i="1"/>
  <c r="J61" i="1" l="1"/>
  <c r="L61" i="1"/>
  <c r="H6" i="1"/>
</calcChain>
</file>

<file path=xl/sharedStrings.xml><?xml version="1.0" encoding="utf-8"?>
<sst xmlns="http://schemas.openxmlformats.org/spreadsheetml/2006/main" count="218" uniqueCount="142">
  <si>
    <t>T.ID</t>
  </si>
  <si>
    <t>DATE</t>
  </si>
  <si>
    <t>PACKAGE AMT</t>
  </si>
  <si>
    <t>T27012536516476</t>
  </si>
  <si>
    <t>Piyush Salvi</t>
  </si>
  <si>
    <t>T02022536646287</t>
  </si>
  <si>
    <t>Geeta Devi</t>
  </si>
  <si>
    <t>T03022536667247</t>
  </si>
  <si>
    <t>Sukhiya Devi</t>
  </si>
  <si>
    <t>Arjun Lal Sen</t>
  </si>
  <si>
    <t>T05022536703538</t>
  </si>
  <si>
    <t>T05022536707057</t>
  </si>
  <si>
    <t>Kailash Lal</t>
  </si>
  <si>
    <t>Laxmi Narayan Teli</t>
  </si>
  <si>
    <t>T11022536836186</t>
  </si>
  <si>
    <t>Ladu Lal Mali</t>
  </si>
  <si>
    <t>T15022536926711</t>
  </si>
  <si>
    <t>Gopal Lal</t>
  </si>
  <si>
    <t>T17022536968875</t>
  </si>
  <si>
    <t>T17022536974582</t>
  </si>
  <si>
    <t xml:space="preserve">Mohammed Azad </t>
  </si>
  <si>
    <t>G.Amt</t>
  </si>
  <si>
    <t>IMP G.Amt</t>
  </si>
  <si>
    <t>PATIENT NAME</t>
  </si>
  <si>
    <t>TDS Amt</t>
  </si>
  <si>
    <t>Net Amt</t>
  </si>
  <si>
    <t>Partially Received</t>
  </si>
  <si>
    <t>Receivable from TPA</t>
  </si>
  <si>
    <t>Outstanding Amount</t>
  </si>
  <si>
    <t>Status</t>
  </si>
  <si>
    <t>paid</t>
  </si>
  <si>
    <t>Bhaguta Meena</t>
  </si>
  <si>
    <t xml:space="preserve">Sugam Chandra </t>
  </si>
  <si>
    <t>Ghewar Chand</t>
  </si>
  <si>
    <t>pending</t>
  </si>
  <si>
    <t>T17012536317325</t>
  </si>
  <si>
    <t>T02032537281630</t>
  </si>
  <si>
    <t>T03032537310102</t>
  </si>
  <si>
    <t>T21022537066920</t>
  </si>
  <si>
    <t>Irfan Mewati</t>
  </si>
  <si>
    <t>T03012536051862</t>
  </si>
  <si>
    <t>Shambhu Lal Dholi</t>
  </si>
  <si>
    <t>Partially TDS</t>
  </si>
  <si>
    <t>TDS DEDUCTION</t>
  </si>
  <si>
    <t>Outstanding TDS</t>
  </si>
  <si>
    <t>TDS Payable to TPA</t>
  </si>
  <si>
    <t>T07032537411412</t>
  </si>
  <si>
    <t>Pooja Nayak</t>
  </si>
  <si>
    <t>T21032537707699</t>
  </si>
  <si>
    <t>Aditiya Sen</t>
  </si>
  <si>
    <t>T23032537764159</t>
  </si>
  <si>
    <t>Sukhdev Kathath</t>
  </si>
  <si>
    <t>T24032537793612</t>
  </si>
  <si>
    <t>Goru Lal Bairwa</t>
  </si>
  <si>
    <t>T27032537875911</t>
  </si>
  <si>
    <t>Mahendra</t>
  </si>
  <si>
    <t>T05042538078211</t>
  </si>
  <si>
    <t>T07042538108794</t>
  </si>
  <si>
    <t>Khimi Devi</t>
  </si>
  <si>
    <t>Saddam Husain</t>
  </si>
  <si>
    <t>T10042538188312</t>
  </si>
  <si>
    <t>Amit Jangid</t>
  </si>
  <si>
    <t>T26032537826555</t>
  </si>
  <si>
    <t>Chhitar Bairwa</t>
  </si>
  <si>
    <t>T15042538304371</t>
  </si>
  <si>
    <t>Ratta Bhil</t>
  </si>
  <si>
    <t>Lokesh Kumar Meena</t>
  </si>
  <si>
    <t>T18042538378759</t>
  </si>
  <si>
    <t>T23042538488175</t>
  </si>
  <si>
    <t>Ratani Devi</t>
  </si>
  <si>
    <t>T25042538536494</t>
  </si>
  <si>
    <t>Durga devi</t>
  </si>
  <si>
    <t>T26042538556820</t>
  </si>
  <si>
    <t>Prkash Chandr</t>
  </si>
  <si>
    <t>T26042538564212</t>
  </si>
  <si>
    <t>T30042538650418</t>
  </si>
  <si>
    <t>Jamani Devi</t>
  </si>
  <si>
    <t>T01052538683742</t>
  </si>
  <si>
    <t>T04052538753885</t>
  </si>
  <si>
    <t>Sunil Sahu</t>
  </si>
  <si>
    <t>T08052538854512</t>
  </si>
  <si>
    <t>Sukhdev Singh</t>
  </si>
  <si>
    <t>T10052538909506</t>
  </si>
  <si>
    <t>Jawan Singh</t>
  </si>
  <si>
    <t>T19052539117469</t>
  </si>
  <si>
    <t>Harji Gadri</t>
  </si>
  <si>
    <t>T25052539285946</t>
  </si>
  <si>
    <t>Mamta Bairagi</t>
  </si>
  <si>
    <t>T31052539437744</t>
  </si>
  <si>
    <t>Manoj Teli</t>
  </si>
  <si>
    <t>T04062539537800</t>
  </si>
  <si>
    <t>Devi Lal Gadri</t>
  </si>
  <si>
    <t>T28062540132470</t>
  </si>
  <si>
    <t>Ratan Lal Regar</t>
  </si>
  <si>
    <t>T30062540167610</t>
  </si>
  <si>
    <t>Nanuram Kumawat</t>
  </si>
  <si>
    <t>T01072540192990</t>
  </si>
  <si>
    <t>Sunil Raidas</t>
  </si>
  <si>
    <t>Kamla Devi</t>
  </si>
  <si>
    <t>T02072540219459</t>
  </si>
  <si>
    <t>Modi Devi</t>
  </si>
  <si>
    <t>T03072540243549</t>
  </si>
  <si>
    <t>Jamana Lal Od</t>
  </si>
  <si>
    <t>T03072540252196</t>
  </si>
  <si>
    <t>T04072540272486</t>
  </si>
  <si>
    <t>Gopal Nayak</t>
  </si>
  <si>
    <t>T06072540305080</t>
  </si>
  <si>
    <t>Narendr Kumar Nayak</t>
  </si>
  <si>
    <t>T08072540344985</t>
  </si>
  <si>
    <t>Teena</t>
  </si>
  <si>
    <t>T13072540491051</t>
  </si>
  <si>
    <t>Ashok Soni</t>
  </si>
  <si>
    <t>T14072540514896</t>
  </si>
  <si>
    <t>Meena Nayak</t>
  </si>
  <si>
    <t>T17072540579046</t>
  </si>
  <si>
    <t>T17072540592513</t>
  </si>
  <si>
    <t>Laxman Lal Kumawat</t>
  </si>
  <si>
    <t>T20072540659744</t>
  </si>
  <si>
    <t>Shanti Devi</t>
  </si>
  <si>
    <t>T26072540825361</t>
  </si>
  <si>
    <t>Surta</t>
  </si>
  <si>
    <t>T29072540882223</t>
  </si>
  <si>
    <t>SOHAN NAYAK</t>
  </si>
  <si>
    <t>T18082541376751</t>
  </si>
  <si>
    <t>T28082541645434</t>
  </si>
  <si>
    <t>T31082541723442</t>
  </si>
  <si>
    <t>Sanwar Lal</t>
  </si>
  <si>
    <t>T08092541911757</t>
  </si>
  <si>
    <t>Rohit Prajapat</t>
  </si>
  <si>
    <t>T08092541928279</t>
  </si>
  <si>
    <t>Chetan Nayak</t>
  </si>
  <si>
    <t>T10092541967215</t>
  </si>
  <si>
    <t>T10092541978166</t>
  </si>
  <si>
    <t>Rupa Devi Khati</t>
  </si>
  <si>
    <t>T14092542090919</t>
  </si>
  <si>
    <t>Chhagani Devi</t>
  </si>
  <si>
    <t>T15092542137214</t>
  </si>
  <si>
    <t>Ramkishan Mali</t>
  </si>
  <si>
    <t>T16092542158336</t>
  </si>
  <si>
    <t>Sulochana Devi</t>
  </si>
  <si>
    <t>T17092542188793</t>
  </si>
  <si>
    <t>Shiv Ji Ram 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</si>
</sst>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B050"/>
      <name val="Verdana"/>
      <family val="2"/>
    </font>
    <font>
      <sz val="11"/>
      <color rgb="FF00B050"/>
      <name val="Calibri"/>
      <family val="2"/>
      <scheme val="minor"/>
    </font>
    <font>
      <sz val="9"/>
      <color rgb="FF00B050"/>
      <name val="Arial"/>
      <family val="2"/>
    </font>
    <font>
      <sz val="9"/>
      <color rgb="FF7030A0"/>
      <name val="Verdana"/>
      <family val="2"/>
    </font>
    <font>
      <sz val="11"/>
      <color rgb="FF7030A0"/>
      <name val="Calibri"/>
      <family val="2"/>
      <scheme val="minor"/>
    </font>
    <font>
      <sz val="9"/>
      <color rgb="FF7030A0"/>
      <name val="Arial"/>
      <family val="2"/>
    </font>
    <font>
      <sz val="9"/>
      <color theme="3"/>
      <name val="Verdana"/>
      <family val="2"/>
    </font>
    <font>
      <sz val="11"/>
      <color theme="3"/>
      <name val="Calibri"/>
      <family val="2"/>
      <scheme val="minor"/>
    </font>
    <font>
      <sz val="9"/>
      <color theme="3"/>
      <name val="Arial"/>
      <family val="2"/>
    </font>
    <font>
      <sz val="9"/>
      <color rgb="FFC00000"/>
      <name val="Verdana"/>
      <family val="2"/>
    </font>
    <font>
      <sz val="11"/>
      <color rgb="FFC00000"/>
      <name val="Calibri"/>
      <family val="2"/>
      <scheme val="minor"/>
    </font>
    <font>
      <sz val="9"/>
      <color rgb="FFC00000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Verdana"/>
      <family val="2"/>
    </font>
    <font>
      <sz val="9"/>
      <color rgb="FF000000"/>
      <name val="Verdana"/>
      <family val="2"/>
    </font>
    <font>
      <sz val="11"/>
      <color rgb="FF0070C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9"/>
      <color theme="9" tint="-0.24997711111789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74D3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44" fontId="0" fillId="0" borderId="1" xfId="0" applyNumberForma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0" fillId="0" borderId="2" xfId="0" applyBorder="1"/>
    <xf numFmtId="2" fontId="0" fillId="0" borderId="2" xfId="0" applyNumberFormat="1" applyBorder="1"/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/>
    <xf numFmtId="0" fontId="2" fillId="0" borderId="1" xfId="0" applyFont="1" applyBorder="1"/>
    <xf numFmtId="0" fontId="3" fillId="0" borderId="1" xfId="0" applyNumberFormat="1" applyFont="1" applyBorder="1"/>
    <xf numFmtId="2" fontId="3" fillId="0" borderId="1" xfId="0" applyNumberFormat="1" applyFont="1" applyBorder="1"/>
    <xf numFmtId="0" fontId="6" fillId="0" borderId="1" xfId="0" applyFont="1" applyBorder="1"/>
    <xf numFmtId="0" fontId="7" fillId="0" borderId="1" xfId="0" applyFont="1" applyBorder="1" applyAlignment="1"/>
    <xf numFmtId="0" fontId="5" fillId="0" borderId="1" xfId="0" applyFont="1" applyBorder="1"/>
    <xf numFmtId="0" fontId="6" fillId="0" borderId="1" xfId="0" applyNumberFormat="1" applyFont="1" applyBorder="1"/>
    <xf numFmtId="2" fontId="6" fillId="0" borderId="1" xfId="0" applyNumberFormat="1" applyFont="1" applyBorder="1"/>
    <xf numFmtId="14" fontId="8" fillId="0" borderId="1" xfId="0" applyNumberFormat="1" applyFont="1" applyBorder="1" applyAlignment="1">
      <alignment horizontal="left"/>
    </xf>
    <xf numFmtId="0" fontId="9" fillId="0" borderId="1" xfId="0" applyFont="1" applyBorder="1"/>
    <xf numFmtId="0" fontId="10" fillId="0" borderId="1" xfId="0" applyFont="1" applyBorder="1" applyAlignment="1"/>
    <xf numFmtId="0" fontId="8" fillId="0" borderId="1" xfId="0" applyFont="1" applyBorder="1"/>
    <xf numFmtId="0" fontId="9" fillId="0" borderId="1" xfId="0" applyNumberFormat="1" applyFont="1" applyBorder="1"/>
    <xf numFmtId="2" fontId="9" fillId="0" borderId="1" xfId="0" applyNumberFormat="1" applyFont="1" applyBorder="1"/>
    <xf numFmtId="14" fontId="3" fillId="0" borderId="1" xfId="0" applyNumberFormat="1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2" fillId="0" borderId="1" xfId="0" applyFont="1" applyBorder="1"/>
    <xf numFmtId="0" fontId="13" fillId="0" borderId="1" xfId="0" applyFont="1" applyBorder="1" applyAlignment="1"/>
    <xf numFmtId="0" fontId="11" fillId="0" borderId="1" xfId="0" applyFont="1" applyBorder="1"/>
    <xf numFmtId="0" fontId="12" fillId="0" borderId="1" xfId="0" applyNumberFormat="1" applyFont="1" applyBorder="1"/>
    <xf numFmtId="2" fontId="12" fillId="0" borderId="1" xfId="0" applyNumberFormat="1" applyFont="1" applyBorder="1"/>
    <xf numFmtId="14" fontId="11" fillId="0" borderId="1" xfId="0" applyNumberFormat="1" applyFont="1" applyBorder="1" applyAlignment="1">
      <alignment horizontal="left" vertical="center"/>
    </xf>
    <xf numFmtId="14" fontId="12" fillId="0" borderId="1" xfId="0" applyNumberFormat="1" applyFont="1" applyBorder="1" applyAlignment="1">
      <alignment horizontal="left" vertical="center"/>
    </xf>
    <xf numFmtId="14" fontId="12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5" fillId="0" borderId="1" xfId="0" applyFont="1" applyFill="1" applyBorder="1"/>
    <xf numFmtId="0" fontId="6" fillId="0" borderId="1" xfId="0" applyFont="1" applyFill="1" applyBorder="1"/>
    <xf numFmtId="2" fontId="6" fillId="0" borderId="1" xfId="0" applyNumberFormat="1" applyFont="1" applyFill="1" applyBorder="1"/>
    <xf numFmtId="14" fontId="14" fillId="0" borderId="1" xfId="0" applyNumberFormat="1" applyFont="1" applyBorder="1" applyAlignment="1">
      <alignment horizontal="left"/>
    </xf>
    <xf numFmtId="0" fontId="14" fillId="0" borderId="1" xfId="0" applyFont="1" applyBorder="1"/>
    <xf numFmtId="0" fontId="15" fillId="0" borderId="1" xfId="0" applyFont="1" applyFill="1" applyBorder="1"/>
    <xf numFmtId="0" fontId="14" fillId="0" borderId="1" xfId="0" applyFont="1" applyFill="1" applyBorder="1"/>
    <xf numFmtId="2" fontId="14" fillId="0" borderId="1" xfId="0" applyNumberFormat="1" applyFont="1" applyFill="1" applyBorder="1"/>
    <xf numFmtId="0" fontId="15" fillId="0" borderId="0" xfId="0" applyFont="1"/>
    <xf numFmtId="0" fontId="16" fillId="0" borderId="0" xfId="0" applyFont="1"/>
    <xf numFmtId="14" fontId="17" fillId="0" borderId="1" xfId="0" applyNumberFormat="1" applyFont="1" applyBorder="1" applyAlignment="1">
      <alignment horizontal="left"/>
    </xf>
    <xf numFmtId="0" fontId="17" fillId="0" borderId="1" xfId="0" applyFont="1" applyBorder="1"/>
    <xf numFmtId="0" fontId="17" fillId="0" borderId="1" xfId="0" applyFont="1" applyFill="1" applyBorder="1"/>
    <xf numFmtId="2" fontId="17" fillId="0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2" borderId="1" xfId="0" applyFont="1" applyFill="1" applyBorder="1"/>
    <xf numFmtId="14" fontId="0" fillId="0" borderId="1" xfId="0" applyNumberFormat="1" applyBorder="1" applyAlignment="1">
      <alignment horizontal="left"/>
    </xf>
    <xf numFmtId="14" fontId="18" fillId="0" borderId="1" xfId="0" applyNumberFormat="1" applyFont="1" applyBorder="1" applyAlignment="1">
      <alignment horizontal="left"/>
    </xf>
    <xf numFmtId="0" fontId="18" fillId="0" borderId="1" xfId="0" applyFont="1" applyBorder="1"/>
    <xf numFmtId="0" fontId="18" fillId="0" borderId="1" xfId="0" applyFont="1" applyFill="1" applyBorder="1"/>
    <xf numFmtId="2" fontId="18" fillId="0" borderId="1" xfId="0" applyNumberFormat="1" applyFont="1" applyFill="1" applyBorder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74D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0"/>
  <sheetViews>
    <sheetView tabSelected="1" zoomScale="130" zoomScaleNormal="130"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1" max="1" width="11.5703125" style="7" bestFit="1" customWidth="1"/>
    <col min="2" max="2" width="17.140625" bestFit="1" customWidth="1"/>
    <col min="3" max="3" width="20" customWidth="1"/>
    <col min="4" max="4" width="13.85546875" bestFit="1" customWidth="1"/>
    <col min="5" max="5" width="10.42578125" bestFit="1" customWidth="1"/>
    <col min="6" max="6" width="8.140625" customWidth="1"/>
    <col min="7" max="7" width="11.5703125" bestFit="1" customWidth="1"/>
    <col min="10" max="10" width="17" bestFit="1" customWidth="1"/>
    <col min="11" max="11" width="19.7109375" bestFit="1" customWidth="1"/>
    <col min="12" max="12" width="19.5703125" bestFit="1" customWidth="1"/>
    <col min="13" max="13" width="19.7109375" bestFit="1" customWidth="1"/>
    <col min="14" max="14" width="19.5703125" bestFit="1" customWidth="1"/>
  </cols>
  <sheetData>
    <row r="1" spans="1:10" x14ac:dyDescent="0.25">
      <c r="A1" s="8" t="s">
        <v>1</v>
      </c>
      <c r="B1" s="5" t="s">
        <v>0</v>
      </c>
      <c r="C1" s="5" t="s">
        <v>23</v>
      </c>
      <c r="D1" s="5" t="s">
        <v>2</v>
      </c>
      <c r="E1" s="5" t="s">
        <v>22</v>
      </c>
      <c r="F1" s="5" t="s">
        <v>21</v>
      </c>
      <c r="G1" s="5" t="s">
        <v>24</v>
      </c>
      <c r="H1" s="5" t="s">
        <v>25</v>
      </c>
      <c r="I1" s="5" t="s">
        <v>29</v>
      </c>
    </row>
    <row r="2" spans="1:10" x14ac:dyDescent="0.25">
      <c r="A2" s="22">
        <v>45660</v>
      </c>
      <c r="B2" s="23" t="s">
        <v>40</v>
      </c>
      <c r="C2" s="24" t="s">
        <v>41</v>
      </c>
      <c r="D2" s="25">
        <v>17000</v>
      </c>
      <c r="E2" s="25">
        <v>10000</v>
      </c>
      <c r="F2" s="26">
        <f>D2+E2</f>
        <v>27000</v>
      </c>
      <c r="G2" s="27">
        <f t="shared" ref="G2:G26" si="0">F2*10/100</f>
        <v>2700</v>
      </c>
      <c r="H2" s="27">
        <f t="shared" ref="H2:H26" si="1">F2-G2</f>
        <v>24300</v>
      </c>
      <c r="I2" s="23" t="s">
        <v>34</v>
      </c>
    </row>
    <row r="3" spans="1:10" x14ac:dyDescent="0.25">
      <c r="A3" s="22">
        <v>45674</v>
      </c>
      <c r="B3" s="57" t="s">
        <v>35</v>
      </c>
      <c r="C3" s="24" t="s">
        <v>33</v>
      </c>
      <c r="D3" s="25">
        <v>16000</v>
      </c>
      <c r="E3" s="23">
        <v>6000</v>
      </c>
      <c r="F3" s="26">
        <f>E3+D3</f>
        <v>22000</v>
      </c>
      <c r="G3" s="27">
        <f t="shared" si="0"/>
        <v>2200</v>
      </c>
      <c r="H3" s="27">
        <f t="shared" si="1"/>
        <v>19800</v>
      </c>
      <c r="I3" s="23" t="s">
        <v>34</v>
      </c>
    </row>
    <row r="4" spans="1:10" x14ac:dyDescent="0.25">
      <c r="A4" s="22">
        <v>45684</v>
      </c>
      <c r="B4" s="23" t="s">
        <v>3</v>
      </c>
      <c r="C4" s="24" t="s">
        <v>4</v>
      </c>
      <c r="D4" s="23">
        <v>15000</v>
      </c>
      <c r="E4" s="23">
        <v>0</v>
      </c>
      <c r="F4" s="26">
        <f t="shared" ref="F4:F25" si="2">D4+E4</f>
        <v>15000</v>
      </c>
      <c r="G4" s="27">
        <f t="shared" si="0"/>
        <v>1500</v>
      </c>
      <c r="H4" s="27">
        <f t="shared" si="1"/>
        <v>13500</v>
      </c>
      <c r="I4" s="23" t="s">
        <v>30</v>
      </c>
    </row>
    <row r="5" spans="1:10" x14ac:dyDescent="0.25">
      <c r="A5" s="28">
        <v>45690</v>
      </c>
      <c r="B5" s="12" t="s">
        <v>5</v>
      </c>
      <c r="C5" s="13" t="s">
        <v>6</v>
      </c>
      <c r="D5" s="12">
        <v>13200</v>
      </c>
      <c r="E5" s="15">
        <v>9000</v>
      </c>
      <c r="F5" s="15">
        <f t="shared" si="2"/>
        <v>22200</v>
      </c>
      <c r="G5" s="16">
        <f t="shared" si="0"/>
        <v>2220</v>
      </c>
      <c r="H5" s="16">
        <f t="shared" si="1"/>
        <v>19980</v>
      </c>
      <c r="I5" s="12" t="s">
        <v>30</v>
      </c>
    </row>
    <row r="6" spans="1:10" x14ac:dyDescent="0.25">
      <c r="A6" s="11">
        <v>45691</v>
      </c>
      <c r="B6" s="12" t="s">
        <v>7</v>
      </c>
      <c r="C6" s="13" t="s">
        <v>8</v>
      </c>
      <c r="D6" s="12">
        <v>10000</v>
      </c>
      <c r="E6" s="12">
        <v>5000</v>
      </c>
      <c r="F6" s="15">
        <f t="shared" si="2"/>
        <v>15000</v>
      </c>
      <c r="G6" s="16">
        <f t="shared" si="0"/>
        <v>1500</v>
      </c>
      <c r="H6" s="16">
        <f t="shared" si="1"/>
        <v>13500</v>
      </c>
      <c r="I6" s="12" t="s">
        <v>30</v>
      </c>
    </row>
    <row r="7" spans="1:10" x14ac:dyDescent="0.25">
      <c r="A7" s="28">
        <v>45693</v>
      </c>
      <c r="B7" s="12" t="s">
        <v>10</v>
      </c>
      <c r="C7" s="13" t="s">
        <v>9</v>
      </c>
      <c r="D7" s="12">
        <v>15000</v>
      </c>
      <c r="E7" s="12">
        <v>0</v>
      </c>
      <c r="F7" s="15">
        <f t="shared" si="2"/>
        <v>15000</v>
      </c>
      <c r="G7" s="16">
        <f t="shared" si="0"/>
        <v>1500</v>
      </c>
      <c r="H7" s="16">
        <f t="shared" si="1"/>
        <v>13500</v>
      </c>
      <c r="I7" s="12" t="s">
        <v>30</v>
      </c>
    </row>
    <row r="8" spans="1:10" x14ac:dyDescent="0.25">
      <c r="A8" s="11">
        <v>45693</v>
      </c>
      <c r="B8" s="12" t="s">
        <v>11</v>
      </c>
      <c r="C8" s="13" t="s">
        <v>12</v>
      </c>
      <c r="D8" s="12">
        <v>12000</v>
      </c>
      <c r="E8" s="12">
        <v>1500</v>
      </c>
      <c r="F8" s="15">
        <f t="shared" si="2"/>
        <v>13500</v>
      </c>
      <c r="G8" s="16">
        <f t="shared" si="0"/>
        <v>1350</v>
      </c>
      <c r="H8" s="16">
        <f t="shared" si="1"/>
        <v>12150</v>
      </c>
      <c r="I8" s="12" t="s">
        <v>30</v>
      </c>
    </row>
    <row r="9" spans="1:10" x14ac:dyDescent="0.25">
      <c r="A9" s="11">
        <v>45699</v>
      </c>
      <c r="B9" s="12" t="s">
        <v>14</v>
      </c>
      <c r="C9" s="13" t="s">
        <v>13</v>
      </c>
      <c r="D9" s="12">
        <v>40000</v>
      </c>
      <c r="E9" s="12">
        <v>17000</v>
      </c>
      <c r="F9" s="15">
        <f t="shared" si="2"/>
        <v>57000</v>
      </c>
      <c r="G9" s="16">
        <f t="shared" si="0"/>
        <v>5700</v>
      </c>
      <c r="H9" s="16">
        <f t="shared" si="1"/>
        <v>51300</v>
      </c>
      <c r="I9" s="12" t="s">
        <v>30</v>
      </c>
    </row>
    <row r="10" spans="1:10" x14ac:dyDescent="0.25">
      <c r="A10" s="28">
        <v>45703</v>
      </c>
      <c r="B10" s="12" t="s">
        <v>16</v>
      </c>
      <c r="C10" s="13" t="s">
        <v>15</v>
      </c>
      <c r="D10" s="14">
        <v>12000</v>
      </c>
      <c r="E10" s="12">
        <v>5000</v>
      </c>
      <c r="F10" s="15">
        <f t="shared" si="2"/>
        <v>17000</v>
      </c>
      <c r="G10" s="16">
        <f t="shared" si="0"/>
        <v>1700</v>
      </c>
      <c r="H10" s="16">
        <f t="shared" si="1"/>
        <v>15300</v>
      </c>
      <c r="I10" s="12" t="s">
        <v>30</v>
      </c>
    </row>
    <row r="11" spans="1:10" x14ac:dyDescent="0.25">
      <c r="A11" s="28">
        <v>45705</v>
      </c>
      <c r="B11" s="12" t="s">
        <v>18</v>
      </c>
      <c r="C11" s="13" t="s">
        <v>17</v>
      </c>
      <c r="D11" s="14">
        <v>5000</v>
      </c>
      <c r="E11" s="12">
        <v>0</v>
      </c>
      <c r="F11" s="15">
        <f t="shared" si="2"/>
        <v>5000</v>
      </c>
      <c r="G11" s="16">
        <f t="shared" si="0"/>
        <v>500</v>
      </c>
      <c r="H11" s="16">
        <f t="shared" si="1"/>
        <v>4500</v>
      </c>
      <c r="I11" s="12" t="s">
        <v>30</v>
      </c>
    </row>
    <row r="12" spans="1:10" x14ac:dyDescent="0.25">
      <c r="A12" s="11">
        <v>45705</v>
      </c>
      <c r="B12" s="12" t="s">
        <v>19</v>
      </c>
      <c r="C12" s="13" t="s">
        <v>20</v>
      </c>
      <c r="D12" s="14">
        <v>15000</v>
      </c>
      <c r="E12" s="12">
        <v>0</v>
      </c>
      <c r="F12" s="15">
        <f t="shared" si="2"/>
        <v>15000</v>
      </c>
      <c r="G12" s="16">
        <f t="shared" si="0"/>
        <v>1500</v>
      </c>
      <c r="H12" s="16">
        <f t="shared" si="1"/>
        <v>13500</v>
      </c>
      <c r="I12" s="12" t="s">
        <v>30</v>
      </c>
      <c r="J12" s="1"/>
    </row>
    <row r="13" spans="1:10" x14ac:dyDescent="0.25">
      <c r="A13" s="11">
        <v>45709</v>
      </c>
      <c r="B13" s="12" t="s">
        <v>38</v>
      </c>
      <c r="C13" s="13" t="s">
        <v>39</v>
      </c>
      <c r="D13" s="14">
        <v>5000</v>
      </c>
      <c r="E13" s="12">
        <v>0</v>
      </c>
      <c r="F13" s="15">
        <f t="shared" si="2"/>
        <v>5000</v>
      </c>
      <c r="G13" s="16">
        <f t="shared" si="0"/>
        <v>500</v>
      </c>
      <c r="H13" s="16">
        <f t="shared" si="1"/>
        <v>4500</v>
      </c>
      <c r="I13" s="12" t="s">
        <v>30</v>
      </c>
      <c r="J13" s="1"/>
    </row>
    <row r="14" spans="1:10" x14ac:dyDescent="0.25">
      <c r="A14" s="29">
        <v>45718</v>
      </c>
      <c r="B14" s="30" t="s">
        <v>36</v>
      </c>
      <c r="C14" s="31" t="s">
        <v>31</v>
      </c>
      <c r="D14" s="32">
        <v>16100</v>
      </c>
      <c r="E14" s="32">
        <v>7000</v>
      </c>
      <c r="F14" s="33">
        <f t="shared" si="2"/>
        <v>23100</v>
      </c>
      <c r="G14" s="34">
        <f t="shared" si="0"/>
        <v>2310</v>
      </c>
      <c r="H14" s="34">
        <f t="shared" si="1"/>
        <v>20790</v>
      </c>
      <c r="I14" s="30" t="s">
        <v>30</v>
      </c>
    </row>
    <row r="15" spans="1:10" x14ac:dyDescent="0.25">
      <c r="A15" s="29">
        <v>45719</v>
      </c>
      <c r="B15" s="30" t="s">
        <v>37</v>
      </c>
      <c r="C15" s="31" t="s">
        <v>32</v>
      </c>
      <c r="D15" s="32">
        <v>20500</v>
      </c>
      <c r="E15" s="32">
        <v>3000</v>
      </c>
      <c r="F15" s="33">
        <f t="shared" si="2"/>
        <v>23500</v>
      </c>
      <c r="G15" s="34">
        <f t="shared" si="0"/>
        <v>2350</v>
      </c>
      <c r="H15" s="34">
        <f t="shared" si="1"/>
        <v>21150</v>
      </c>
      <c r="I15" s="30" t="s">
        <v>30</v>
      </c>
    </row>
    <row r="16" spans="1:10" x14ac:dyDescent="0.25">
      <c r="A16" s="35">
        <v>45726</v>
      </c>
      <c r="B16" s="30" t="s">
        <v>46</v>
      </c>
      <c r="C16" s="31" t="s">
        <v>47</v>
      </c>
      <c r="D16" s="30">
        <v>15000</v>
      </c>
      <c r="E16" s="30"/>
      <c r="F16" s="33">
        <f t="shared" si="2"/>
        <v>15000</v>
      </c>
      <c r="G16" s="34">
        <f t="shared" si="0"/>
        <v>1500</v>
      </c>
      <c r="H16" s="34">
        <f t="shared" si="1"/>
        <v>13500</v>
      </c>
      <c r="I16" s="30" t="s">
        <v>30</v>
      </c>
    </row>
    <row r="17" spans="1:9" x14ac:dyDescent="0.25">
      <c r="A17" s="36">
        <v>45737</v>
      </c>
      <c r="B17" s="30" t="s">
        <v>48</v>
      </c>
      <c r="C17" s="31" t="s">
        <v>49</v>
      </c>
      <c r="D17" s="32">
        <v>16000</v>
      </c>
      <c r="E17" s="30">
        <v>10000</v>
      </c>
      <c r="F17" s="33">
        <f t="shared" si="2"/>
        <v>26000</v>
      </c>
      <c r="G17" s="34">
        <f t="shared" si="0"/>
        <v>2600</v>
      </c>
      <c r="H17" s="34">
        <f t="shared" si="1"/>
        <v>23400</v>
      </c>
      <c r="I17" s="30" t="s">
        <v>30</v>
      </c>
    </row>
    <row r="18" spans="1:9" x14ac:dyDescent="0.25">
      <c r="A18" s="36">
        <v>45739</v>
      </c>
      <c r="B18" s="30" t="s">
        <v>50</v>
      </c>
      <c r="C18" s="31" t="s">
        <v>51</v>
      </c>
      <c r="D18" s="32">
        <v>46600</v>
      </c>
      <c r="E18" s="30">
        <v>26000</v>
      </c>
      <c r="F18" s="33">
        <f t="shared" si="2"/>
        <v>72600</v>
      </c>
      <c r="G18" s="34">
        <f t="shared" si="0"/>
        <v>7260</v>
      </c>
      <c r="H18" s="34">
        <f t="shared" si="1"/>
        <v>65340</v>
      </c>
      <c r="I18" s="30" t="s">
        <v>30</v>
      </c>
    </row>
    <row r="19" spans="1:9" x14ac:dyDescent="0.25">
      <c r="A19" s="36">
        <v>45740</v>
      </c>
      <c r="B19" s="30" t="s">
        <v>52</v>
      </c>
      <c r="C19" s="31" t="s">
        <v>53</v>
      </c>
      <c r="D19" s="32">
        <v>15600</v>
      </c>
      <c r="E19" s="30">
        <v>1000</v>
      </c>
      <c r="F19" s="33">
        <f t="shared" si="2"/>
        <v>16600</v>
      </c>
      <c r="G19" s="34">
        <f t="shared" si="0"/>
        <v>1660</v>
      </c>
      <c r="H19" s="34">
        <f t="shared" si="1"/>
        <v>14940</v>
      </c>
      <c r="I19" s="30" t="s">
        <v>30</v>
      </c>
    </row>
    <row r="20" spans="1:9" x14ac:dyDescent="0.25">
      <c r="A20" s="37">
        <v>45742</v>
      </c>
      <c r="B20" s="30" t="s">
        <v>62</v>
      </c>
      <c r="C20" s="31" t="s">
        <v>63</v>
      </c>
      <c r="D20" s="32">
        <v>5000</v>
      </c>
      <c r="E20" s="30">
        <v>750</v>
      </c>
      <c r="F20" s="33">
        <f t="shared" si="2"/>
        <v>5750</v>
      </c>
      <c r="G20" s="34">
        <f t="shared" si="0"/>
        <v>575</v>
      </c>
      <c r="H20" s="34">
        <f t="shared" si="1"/>
        <v>5175</v>
      </c>
      <c r="I20" s="30" t="s">
        <v>30</v>
      </c>
    </row>
    <row r="21" spans="1:9" x14ac:dyDescent="0.25">
      <c r="A21" s="37">
        <v>45743</v>
      </c>
      <c r="B21" s="30" t="s">
        <v>54</v>
      </c>
      <c r="C21" s="31" t="s">
        <v>55</v>
      </c>
      <c r="D21" s="32">
        <v>16000</v>
      </c>
      <c r="E21" s="30">
        <v>10000</v>
      </c>
      <c r="F21" s="33">
        <f t="shared" si="2"/>
        <v>26000</v>
      </c>
      <c r="G21" s="34">
        <f t="shared" si="0"/>
        <v>2600</v>
      </c>
      <c r="H21" s="34">
        <f t="shared" si="1"/>
        <v>23400</v>
      </c>
      <c r="I21" s="30" t="s">
        <v>30</v>
      </c>
    </row>
    <row r="22" spans="1:9" x14ac:dyDescent="0.25">
      <c r="A22" s="38">
        <v>45752</v>
      </c>
      <c r="B22" s="17" t="s">
        <v>56</v>
      </c>
      <c r="C22" s="18" t="s">
        <v>58</v>
      </c>
      <c r="D22" s="19">
        <v>18400</v>
      </c>
      <c r="E22" s="17">
        <v>6000</v>
      </c>
      <c r="F22" s="20">
        <f t="shared" si="2"/>
        <v>24400</v>
      </c>
      <c r="G22" s="21">
        <f t="shared" si="0"/>
        <v>2440</v>
      </c>
      <c r="H22" s="21">
        <f t="shared" si="1"/>
        <v>21960</v>
      </c>
      <c r="I22" s="17" t="s">
        <v>30</v>
      </c>
    </row>
    <row r="23" spans="1:9" x14ac:dyDescent="0.25">
      <c r="A23" s="38">
        <v>45754</v>
      </c>
      <c r="B23" s="17" t="s">
        <v>57</v>
      </c>
      <c r="C23" s="18" t="s">
        <v>59</v>
      </c>
      <c r="D23" s="19">
        <v>15000</v>
      </c>
      <c r="E23" s="17">
        <v>0</v>
      </c>
      <c r="F23" s="20">
        <f t="shared" si="2"/>
        <v>15000</v>
      </c>
      <c r="G23" s="21">
        <f t="shared" si="0"/>
        <v>1500</v>
      </c>
      <c r="H23" s="21">
        <f t="shared" si="1"/>
        <v>13500</v>
      </c>
      <c r="I23" s="17" t="s">
        <v>30</v>
      </c>
    </row>
    <row r="24" spans="1:9" x14ac:dyDescent="0.25">
      <c r="A24" s="38">
        <v>45757</v>
      </c>
      <c r="B24" s="17" t="s">
        <v>60</v>
      </c>
      <c r="C24" s="18" t="s">
        <v>61</v>
      </c>
      <c r="D24" s="19">
        <v>19000</v>
      </c>
      <c r="E24" s="17">
        <v>14000</v>
      </c>
      <c r="F24" s="20">
        <f t="shared" si="2"/>
        <v>33000</v>
      </c>
      <c r="G24" s="21">
        <f t="shared" si="0"/>
        <v>3300</v>
      </c>
      <c r="H24" s="21">
        <f t="shared" si="1"/>
        <v>29700</v>
      </c>
      <c r="I24" s="17" t="s">
        <v>30</v>
      </c>
    </row>
    <row r="25" spans="1:9" x14ac:dyDescent="0.25">
      <c r="A25" s="38">
        <v>45762</v>
      </c>
      <c r="B25" s="17" t="s">
        <v>64</v>
      </c>
      <c r="C25" s="17" t="s">
        <v>65</v>
      </c>
      <c r="D25" s="19">
        <v>12000</v>
      </c>
      <c r="E25" s="17">
        <v>5000</v>
      </c>
      <c r="F25" s="17">
        <f t="shared" si="2"/>
        <v>17000</v>
      </c>
      <c r="G25" s="17">
        <f t="shared" si="0"/>
        <v>1700</v>
      </c>
      <c r="H25" s="17">
        <f t="shared" si="1"/>
        <v>15300</v>
      </c>
      <c r="I25" s="17" t="s">
        <v>30</v>
      </c>
    </row>
    <row r="26" spans="1:9" x14ac:dyDescent="0.25">
      <c r="A26" s="38">
        <v>45765</v>
      </c>
      <c r="B26" s="17" t="s">
        <v>67</v>
      </c>
      <c r="C26" s="17" t="s">
        <v>66</v>
      </c>
      <c r="D26" s="17">
        <v>46600</v>
      </c>
      <c r="E26" s="17">
        <v>26000</v>
      </c>
      <c r="F26" s="17">
        <f>D26+E26</f>
        <v>72600</v>
      </c>
      <c r="G26" s="17">
        <f t="shared" si="0"/>
        <v>7260</v>
      </c>
      <c r="H26" s="17">
        <f t="shared" si="1"/>
        <v>65340</v>
      </c>
      <c r="I26" s="17" t="s">
        <v>30</v>
      </c>
    </row>
    <row r="27" spans="1:9" x14ac:dyDescent="0.25">
      <c r="A27" s="38">
        <v>45770</v>
      </c>
      <c r="B27" s="17" t="s">
        <v>68</v>
      </c>
      <c r="C27" s="17" t="s">
        <v>69</v>
      </c>
      <c r="D27" s="39">
        <v>12000</v>
      </c>
      <c r="E27" s="40">
        <v>5000</v>
      </c>
      <c r="F27" s="40">
        <f>D27+E27</f>
        <v>17000</v>
      </c>
      <c r="G27" s="41">
        <f>F27*10/100</f>
        <v>1700</v>
      </c>
      <c r="H27" s="41">
        <f>F27-G27</f>
        <v>15300</v>
      </c>
      <c r="I27" s="40" t="s">
        <v>30</v>
      </c>
    </row>
    <row r="28" spans="1:9" x14ac:dyDescent="0.25">
      <c r="A28" s="38">
        <v>45772</v>
      </c>
      <c r="B28" s="17" t="s">
        <v>70</v>
      </c>
      <c r="C28" s="17" t="s">
        <v>71</v>
      </c>
      <c r="D28" s="39">
        <v>5000</v>
      </c>
      <c r="E28" s="40">
        <v>0</v>
      </c>
      <c r="F28" s="40">
        <f>D28+E28</f>
        <v>5000</v>
      </c>
      <c r="G28" s="41">
        <f t="shared" ref="G28:G44" si="3">F28*10/100</f>
        <v>500</v>
      </c>
      <c r="H28" s="41">
        <f t="shared" ref="H28:H44" si="4">F28-G28</f>
        <v>4500</v>
      </c>
      <c r="I28" s="40" t="s">
        <v>30</v>
      </c>
    </row>
    <row r="29" spans="1:9" x14ac:dyDescent="0.25">
      <c r="A29" s="38">
        <v>45773</v>
      </c>
      <c r="B29" s="17" t="s">
        <v>72</v>
      </c>
      <c r="C29" s="17" t="s">
        <v>73</v>
      </c>
      <c r="D29" s="39">
        <v>15000</v>
      </c>
      <c r="E29" s="40">
        <v>51000</v>
      </c>
      <c r="F29" s="40">
        <f>D29+E29</f>
        <v>66000</v>
      </c>
      <c r="G29" s="41">
        <f t="shared" si="3"/>
        <v>6600</v>
      </c>
      <c r="H29" s="41">
        <f t="shared" si="4"/>
        <v>59400</v>
      </c>
      <c r="I29" s="40" t="s">
        <v>34</v>
      </c>
    </row>
    <row r="30" spans="1:9" x14ac:dyDescent="0.25">
      <c r="A30" s="38">
        <v>45773</v>
      </c>
      <c r="B30" s="17" t="s">
        <v>74</v>
      </c>
      <c r="C30" s="17" t="s">
        <v>63</v>
      </c>
      <c r="D30" s="39">
        <v>5000</v>
      </c>
      <c r="E30" s="17">
        <v>0</v>
      </c>
      <c r="F30" s="40">
        <f t="shared" ref="F30:F44" si="5">D30+E30</f>
        <v>5000</v>
      </c>
      <c r="G30" s="41">
        <f t="shared" si="3"/>
        <v>500</v>
      </c>
      <c r="H30" s="41">
        <f t="shared" si="4"/>
        <v>4500</v>
      </c>
      <c r="I30" s="40" t="s">
        <v>30</v>
      </c>
    </row>
    <row r="31" spans="1:9" x14ac:dyDescent="0.25">
      <c r="A31" s="38">
        <v>45777</v>
      </c>
      <c r="B31" s="17" t="s">
        <v>75</v>
      </c>
      <c r="C31" s="17" t="s">
        <v>76</v>
      </c>
      <c r="D31" s="39">
        <v>5000</v>
      </c>
      <c r="E31" s="17">
        <v>0</v>
      </c>
      <c r="F31" s="40">
        <f t="shared" si="5"/>
        <v>5000</v>
      </c>
      <c r="G31" s="41">
        <f t="shared" si="3"/>
        <v>500</v>
      </c>
      <c r="H31" s="41">
        <f t="shared" si="4"/>
        <v>4500</v>
      </c>
      <c r="I31" s="40" t="s">
        <v>30</v>
      </c>
    </row>
    <row r="32" spans="1:9" x14ac:dyDescent="0.25">
      <c r="A32" s="42">
        <v>45778</v>
      </c>
      <c r="B32" s="43" t="s">
        <v>77</v>
      </c>
      <c r="C32" s="43" t="s">
        <v>49</v>
      </c>
      <c r="D32" s="44">
        <v>15000</v>
      </c>
      <c r="E32" s="43">
        <v>0</v>
      </c>
      <c r="F32" s="45">
        <f t="shared" si="5"/>
        <v>15000</v>
      </c>
      <c r="G32" s="46">
        <f t="shared" si="3"/>
        <v>1500</v>
      </c>
      <c r="H32" s="46">
        <f t="shared" si="4"/>
        <v>13500</v>
      </c>
      <c r="I32" s="45" t="s">
        <v>30</v>
      </c>
    </row>
    <row r="33" spans="1:9" x14ac:dyDescent="0.25">
      <c r="A33" s="42">
        <v>45781</v>
      </c>
      <c r="B33" s="43" t="s">
        <v>78</v>
      </c>
      <c r="C33" s="43" t="s">
        <v>79</v>
      </c>
      <c r="D33" s="44">
        <v>40000</v>
      </c>
      <c r="E33" s="43">
        <v>17000</v>
      </c>
      <c r="F33" s="45">
        <f t="shared" si="5"/>
        <v>57000</v>
      </c>
      <c r="G33" s="46">
        <f t="shared" si="3"/>
        <v>5700</v>
      </c>
      <c r="H33" s="46">
        <f t="shared" si="4"/>
        <v>51300</v>
      </c>
      <c r="I33" s="45" t="s">
        <v>30</v>
      </c>
    </row>
    <row r="34" spans="1:9" x14ac:dyDescent="0.25">
      <c r="A34" s="42">
        <v>45785</v>
      </c>
      <c r="B34" s="43" t="s">
        <v>80</v>
      </c>
      <c r="C34" s="43" t="s">
        <v>81</v>
      </c>
      <c r="D34" s="43">
        <v>20800</v>
      </c>
      <c r="E34" s="47">
        <v>7000</v>
      </c>
      <c r="F34" s="45">
        <f t="shared" si="5"/>
        <v>27800</v>
      </c>
      <c r="G34" s="46">
        <f t="shared" si="3"/>
        <v>2780</v>
      </c>
      <c r="H34" s="46">
        <f t="shared" si="4"/>
        <v>25020</v>
      </c>
      <c r="I34" s="45" t="s">
        <v>30</v>
      </c>
    </row>
    <row r="35" spans="1:9" x14ac:dyDescent="0.25">
      <c r="A35" s="42">
        <v>45787</v>
      </c>
      <c r="B35" s="43" t="s">
        <v>82</v>
      </c>
      <c r="C35" s="43" t="s">
        <v>83</v>
      </c>
      <c r="D35" s="43">
        <v>20800</v>
      </c>
      <c r="E35" s="43">
        <v>7000</v>
      </c>
      <c r="F35" s="45">
        <f t="shared" si="5"/>
        <v>27800</v>
      </c>
      <c r="G35" s="46">
        <f t="shared" si="3"/>
        <v>2780</v>
      </c>
      <c r="H35" s="46">
        <f t="shared" si="4"/>
        <v>25020</v>
      </c>
      <c r="I35" s="45" t="s">
        <v>30</v>
      </c>
    </row>
    <row r="36" spans="1:9" x14ac:dyDescent="0.25">
      <c r="A36" s="42">
        <v>45796</v>
      </c>
      <c r="B36" s="43" t="s">
        <v>84</v>
      </c>
      <c r="C36" s="43" t="s">
        <v>85</v>
      </c>
      <c r="D36" s="47">
        <v>15000</v>
      </c>
      <c r="E36" s="43">
        <v>0</v>
      </c>
      <c r="F36" s="45">
        <f t="shared" si="5"/>
        <v>15000</v>
      </c>
      <c r="G36" s="46">
        <f t="shared" si="3"/>
        <v>1500</v>
      </c>
      <c r="H36" s="46">
        <f t="shared" si="4"/>
        <v>13500</v>
      </c>
      <c r="I36" s="43" t="s">
        <v>30</v>
      </c>
    </row>
    <row r="37" spans="1:9" x14ac:dyDescent="0.25">
      <c r="A37" s="42">
        <v>45802</v>
      </c>
      <c r="B37" s="43" t="s">
        <v>86</v>
      </c>
      <c r="C37" s="43" t="s">
        <v>87</v>
      </c>
      <c r="D37" s="43">
        <v>15000</v>
      </c>
      <c r="E37" s="43">
        <v>0</v>
      </c>
      <c r="F37" s="45">
        <f t="shared" si="5"/>
        <v>15000</v>
      </c>
      <c r="G37" s="46">
        <f t="shared" si="3"/>
        <v>1500</v>
      </c>
      <c r="H37" s="46">
        <f t="shared" si="4"/>
        <v>13500</v>
      </c>
      <c r="I37" s="43" t="s">
        <v>30</v>
      </c>
    </row>
    <row r="38" spans="1:9" x14ac:dyDescent="0.25">
      <c r="A38" s="42">
        <v>45808</v>
      </c>
      <c r="B38" s="43" t="s">
        <v>88</v>
      </c>
      <c r="C38" s="43" t="s">
        <v>89</v>
      </c>
      <c r="D38" s="47">
        <v>15000</v>
      </c>
      <c r="E38" s="43">
        <v>0</v>
      </c>
      <c r="F38" s="45">
        <f t="shared" si="5"/>
        <v>15000</v>
      </c>
      <c r="G38" s="46">
        <f t="shared" si="3"/>
        <v>1500</v>
      </c>
      <c r="H38" s="46">
        <f t="shared" si="4"/>
        <v>13500</v>
      </c>
      <c r="I38" s="43" t="s">
        <v>30</v>
      </c>
    </row>
    <row r="39" spans="1:9" x14ac:dyDescent="0.25">
      <c r="A39" s="49">
        <v>45812</v>
      </c>
      <c r="B39" s="50" t="s">
        <v>90</v>
      </c>
      <c r="C39" s="50" t="s">
        <v>91</v>
      </c>
      <c r="D39" s="50">
        <v>15000</v>
      </c>
      <c r="E39" s="50">
        <v>0</v>
      </c>
      <c r="F39" s="51">
        <f t="shared" si="5"/>
        <v>15000</v>
      </c>
      <c r="G39" s="52">
        <f t="shared" si="3"/>
        <v>1500</v>
      </c>
      <c r="H39" s="52">
        <f t="shared" si="4"/>
        <v>13500</v>
      </c>
      <c r="I39" s="50" t="s">
        <v>30</v>
      </c>
    </row>
    <row r="40" spans="1:9" x14ac:dyDescent="0.25">
      <c r="A40" s="49">
        <v>45836</v>
      </c>
      <c r="B40" s="50" t="s">
        <v>92</v>
      </c>
      <c r="C40" s="50" t="s">
        <v>93</v>
      </c>
      <c r="D40" s="50">
        <v>12000</v>
      </c>
      <c r="E40" s="50">
        <v>5000</v>
      </c>
      <c r="F40" s="51">
        <f t="shared" si="5"/>
        <v>17000</v>
      </c>
      <c r="G40" s="52">
        <f t="shared" si="3"/>
        <v>1700</v>
      </c>
      <c r="H40" s="52">
        <f t="shared" si="4"/>
        <v>15300</v>
      </c>
      <c r="I40" s="50" t="s">
        <v>30</v>
      </c>
    </row>
    <row r="41" spans="1:9" x14ac:dyDescent="0.25">
      <c r="A41" s="49">
        <v>45838</v>
      </c>
      <c r="B41" s="50" t="s">
        <v>94</v>
      </c>
      <c r="C41" s="50" t="s">
        <v>95</v>
      </c>
      <c r="D41" s="50">
        <v>26300</v>
      </c>
      <c r="E41" s="50">
        <v>10000</v>
      </c>
      <c r="F41" s="51">
        <f t="shared" si="5"/>
        <v>36300</v>
      </c>
      <c r="G41" s="52">
        <f t="shared" si="3"/>
        <v>3630</v>
      </c>
      <c r="H41" s="52">
        <f t="shared" si="4"/>
        <v>32670</v>
      </c>
      <c r="I41" s="50" t="s">
        <v>34</v>
      </c>
    </row>
    <row r="42" spans="1:9" x14ac:dyDescent="0.25">
      <c r="A42" s="59">
        <v>45839</v>
      </c>
      <c r="B42" s="60" t="s">
        <v>96</v>
      </c>
      <c r="C42" s="60" t="s">
        <v>97</v>
      </c>
      <c r="D42" s="60">
        <v>15600</v>
      </c>
      <c r="E42" s="60">
        <v>10000</v>
      </c>
      <c r="F42" s="61">
        <f t="shared" si="5"/>
        <v>25600</v>
      </c>
      <c r="G42" s="62">
        <f t="shared" si="3"/>
        <v>2560</v>
      </c>
      <c r="H42" s="62">
        <f t="shared" si="4"/>
        <v>23040</v>
      </c>
      <c r="I42" s="60" t="s">
        <v>30</v>
      </c>
    </row>
    <row r="43" spans="1:9" x14ac:dyDescent="0.25">
      <c r="A43" s="59">
        <v>45840</v>
      </c>
      <c r="B43" s="60" t="s">
        <v>99</v>
      </c>
      <c r="C43" s="60" t="s">
        <v>98</v>
      </c>
      <c r="D43" s="60">
        <v>15000</v>
      </c>
      <c r="E43" s="60">
        <v>0</v>
      </c>
      <c r="F43" s="61">
        <f t="shared" si="5"/>
        <v>15000</v>
      </c>
      <c r="G43" s="62">
        <f t="shared" si="3"/>
        <v>1500</v>
      </c>
      <c r="H43" s="62">
        <f t="shared" si="4"/>
        <v>13500</v>
      </c>
      <c r="I43" s="60" t="s">
        <v>30</v>
      </c>
    </row>
    <row r="44" spans="1:9" x14ac:dyDescent="0.25">
      <c r="A44" s="59">
        <v>45841</v>
      </c>
      <c r="B44" s="60" t="s">
        <v>101</v>
      </c>
      <c r="C44" s="60" t="s">
        <v>100</v>
      </c>
      <c r="D44" s="63">
        <v>16100</v>
      </c>
      <c r="E44" s="60">
        <v>7000</v>
      </c>
      <c r="F44" s="61">
        <f t="shared" si="5"/>
        <v>23100</v>
      </c>
      <c r="G44" s="62">
        <f t="shared" si="3"/>
        <v>2310</v>
      </c>
      <c r="H44" s="62">
        <f t="shared" si="4"/>
        <v>20790</v>
      </c>
      <c r="I44" s="60" t="s">
        <v>30</v>
      </c>
    </row>
    <row r="45" spans="1:9" x14ac:dyDescent="0.25">
      <c r="A45" s="59">
        <v>45841</v>
      </c>
      <c r="B45" s="60" t="s">
        <v>103</v>
      </c>
      <c r="C45" s="60" t="s">
        <v>102</v>
      </c>
      <c r="D45" s="63">
        <v>15600</v>
      </c>
      <c r="E45" s="60">
        <v>1750</v>
      </c>
      <c r="F45" s="60">
        <f>D45+E45</f>
        <v>17350</v>
      </c>
      <c r="G45" s="60">
        <f>F45*10/100</f>
        <v>1735</v>
      </c>
      <c r="H45" s="60">
        <f>F45-G45</f>
        <v>15615</v>
      </c>
      <c r="I45" s="60" t="s">
        <v>30</v>
      </c>
    </row>
    <row r="46" spans="1:9" x14ac:dyDescent="0.25">
      <c r="A46" s="59">
        <v>45842</v>
      </c>
      <c r="B46" s="60" t="s">
        <v>104</v>
      </c>
      <c r="C46" s="60" t="s">
        <v>105</v>
      </c>
      <c r="D46" s="63">
        <v>15000</v>
      </c>
      <c r="E46" s="60">
        <v>0</v>
      </c>
      <c r="F46" s="60">
        <f t="shared" ref="F46:F66" si="6">D46+E46</f>
        <v>15000</v>
      </c>
      <c r="G46" s="60">
        <f t="shared" ref="G46:G66" si="7">F46*10/100</f>
        <v>1500</v>
      </c>
      <c r="H46" s="60">
        <f t="shared" ref="H46:H66" si="8">F46-G46</f>
        <v>13500</v>
      </c>
      <c r="I46" s="60" t="s">
        <v>30</v>
      </c>
    </row>
    <row r="47" spans="1:9" x14ac:dyDescent="0.25">
      <c r="A47" s="59">
        <v>45844</v>
      </c>
      <c r="B47" s="60" t="s">
        <v>106</v>
      </c>
      <c r="C47" s="60" t="s">
        <v>107</v>
      </c>
      <c r="D47" s="63">
        <v>5000</v>
      </c>
      <c r="E47" s="60">
        <v>500</v>
      </c>
      <c r="F47" s="60">
        <f t="shared" si="6"/>
        <v>5500</v>
      </c>
      <c r="G47" s="60">
        <f t="shared" si="7"/>
        <v>550</v>
      </c>
      <c r="H47" s="60">
        <f t="shared" si="8"/>
        <v>4950</v>
      </c>
      <c r="I47" s="60" t="s">
        <v>30</v>
      </c>
    </row>
    <row r="48" spans="1:9" x14ac:dyDescent="0.25">
      <c r="A48" s="59">
        <v>45846</v>
      </c>
      <c r="B48" s="60" t="s">
        <v>108</v>
      </c>
      <c r="C48" s="60" t="s">
        <v>109</v>
      </c>
      <c r="D48" s="60">
        <v>17000</v>
      </c>
      <c r="E48" s="60">
        <v>5000</v>
      </c>
      <c r="F48" s="60">
        <f t="shared" si="6"/>
        <v>22000</v>
      </c>
      <c r="G48" s="60">
        <f t="shared" si="7"/>
        <v>2200</v>
      </c>
      <c r="H48" s="60">
        <f t="shared" si="8"/>
        <v>19800</v>
      </c>
      <c r="I48" s="60" t="s">
        <v>30</v>
      </c>
    </row>
    <row r="49" spans="1:12" x14ac:dyDescent="0.25">
      <c r="A49" s="59">
        <v>45851</v>
      </c>
      <c r="B49" s="60" t="s">
        <v>110</v>
      </c>
      <c r="C49" s="63" t="s">
        <v>111</v>
      </c>
      <c r="D49" s="63">
        <v>17000</v>
      </c>
      <c r="E49" s="60">
        <v>5000</v>
      </c>
      <c r="F49" s="60">
        <f t="shared" si="6"/>
        <v>22000</v>
      </c>
      <c r="G49" s="60">
        <f t="shared" si="7"/>
        <v>2200</v>
      </c>
      <c r="H49" s="60">
        <f t="shared" si="8"/>
        <v>19800</v>
      </c>
      <c r="I49" s="60" t="s">
        <v>34</v>
      </c>
    </row>
    <row r="50" spans="1:12" x14ac:dyDescent="0.25">
      <c r="A50" s="59">
        <v>45852</v>
      </c>
      <c r="B50" s="60" t="s">
        <v>112</v>
      </c>
      <c r="C50" s="60" t="s">
        <v>113</v>
      </c>
      <c r="D50" s="63">
        <v>40000</v>
      </c>
      <c r="E50" s="60">
        <v>18000</v>
      </c>
      <c r="F50" s="60">
        <f t="shared" si="6"/>
        <v>58000</v>
      </c>
      <c r="G50" s="60">
        <f t="shared" si="7"/>
        <v>5800</v>
      </c>
      <c r="H50" s="60">
        <f t="shared" si="8"/>
        <v>52200</v>
      </c>
      <c r="I50" s="60" t="s">
        <v>30</v>
      </c>
    </row>
    <row r="51" spans="1:12" x14ac:dyDescent="0.25">
      <c r="A51" s="59">
        <v>45855</v>
      </c>
      <c r="B51" s="60" t="s">
        <v>114</v>
      </c>
      <c r="C51" s="60" t="s">
        <v>89</v>
      </c>
      <c r="D51" s="63">
        <v>15000</v>
      </c>
      <c r="E51" s="60">
        <v>0</v>
      </c>
      <c r="F51" s="60">
        <f t="shared" si="6"/>
        <v>15000</v>
      </c>
      <c r="G51" s="60">
        <f t="shared" si="7"/>
        <v>1500</v>
      </c>
      <c r="H51" s="60">
        <f t="shared" si="8"/>
        <v>13500</v>
      </c>
      <c r="I51" s="60" t="s">
        <v>34</v>
      </c>
    </row>
    <row r="52" spans="1:12" x14ac:dyDescent="0.25">
      <c r="A52" s="59">
        <v>45855</v>
      </c>
      <c r="B52" s="60" t="s">
        <v>115</v>
      </c>
      <c r="C52" s="60" t="s">
        <v>116</v>
      </c>
      <c r="D52" s="60">
        <v>15000</v>
      </c>
      <c r="E52" s="60">
        <v>0</v>
      </c>
      <c r="F52" s="60">
        <f t="shared" si="6"/>
        <v>15000</v>
      </c>
      <c r="G52" s="60">
        <f t="shared" si="7"/>
        <v>1500</v>
      </c>
      <c r="H52" s="60">
        <f t="shared" si="8"/>
        <v>13500</v>
      </c>
      <c r="I52" s="60" t="s">
        <v>30</v>
      </c>
    </row>
    <row r="53" spans="1:12" x14ac:dyDescent="0.25">
      <c r="A53" s="59">
        <v>45858</v>
      </c>
      <c r="B53" s="60" t="s">
        <v>117</v>
      </c>
      <c r="C53" s="60" t="s">
        <v>118</v>
      </c>
      <c r="D53" s="60">
        <v>5000</v>
      </c>
      <c r="E53" s="60">
        <v>0</v>
      </c>
      <c r="F53" s="60">
        <f t="shared" si="6"/>
        <v>5000</v>
      </c>
      <c r="G53" s="60">
        <f t="shared" si="7"/>
        <v>500</v>
      </c>
      <c r="H53" s="60">
        <f t="shared" si="8"/>
        <v>4500</v>
      </c>
      <c r="I53" s="60" t="s">
        <v>34</v>
      </c>
    </row>
    <row r="54" spans="1:12" x14ac:dyDescent="0.25">
      <c r="A54" s="59">
        <v>45864</v>
      </c>
      <c r="B54" s="60" t="s">
        <v>119</v>
      </c>
      <c r="C54" s="60" t="s">
        <v>120</v>
      </c>
      <c r="D54" s="60">
        <v>5000</v>
      </c>
      <c r="E54" s="60">
        <v>0</v>
      </c>
      <c r="F54" s="60">
        <f t="shared" si="6"/>
        <v>5000</v>
      </c>
      <c r="G54" s="60">
        <f t="shared" si="7"/>
        <v>500</v>
      </c>
      <c r="H54" s="60">
        <f t="shared" si="8"/>
        <v>4500</v>
      </c>
      <c r="I54" s="60" t="s">
        <v>30</v>
      </c>
    </row>
    <row r="55" spans="1:12" x14ac:dyDescent="0.25">
      <c r="A55" s="59">
        <v>45867</v>
      </c>
      <c r="B55" s="60" t="s">
        <v>121</v>
      </c>
      <c r="C55" s="60" t="s">
        <v>122</v>
      </c>
      <c r="D55" s="60">
        <v>26800</v>
      </c>
      <c r="E55" s="60">
        <v>7000</v>
      </c>
      <c r="F55" s="60">
        <f t="shared" si="6"/>
        <v>33800</v>
      </c>
      <c r="G55" s="60">
        <f t="shared" si="7"/>
        <v>3380</v>
      </c>
      <c r="H55" s="60">
        <f t="shared" si="8"/>
        <v>30420</v>
      </c>
      <c r="I55" s="60" t="s">
        <v>30</v>
      </c>
      <c r="J55" s="55" t="s">
        <v>43</v>
      </c>
      <c r="K55" s="56"/>
      <c r="L55" s="56"/>
    </row>
    <row r="56" spans="1:12" x14ac:dyDescent="0.25">
      <c r="A56" s="58">
        <v>45887</v>
      </c>
      <c r="B56" s="2" t="s">
        <v>123</v>
      </c>
      <c r="C56" s="2" t="s">
        <v>102</v>
      </c>
      <c r="D56" s="2">
        <v>5000</v>
      </c>
      <c r="E56" s="2">
        <v>0</v>
      </c>
      <c r="F56" s="2">
        <f t="shared" si="6"/>
        <v>5000</v>
      </c>
      <c r="G56" s="2">
        <f t="shared" si="7"/>
        <v>500</v>
      </c>
      <c r="H56" s="2">
        <f t="shared" si="8"/>
        <v>4500</v>
      </c>
      <c r="I56" s="2" t="s">
        <v>30</v>
      </c>
      <c r="J56" s="9"/>
      <c r="K56" s="2"/>
      <c r="L56" s="2"/>
    </row>
    <row r="57" spans="1:12" x14ac:dyDescent="0.25">
      <c r="A57" s="58">
        <v>45897</v>
      </c>
      <c r="B57" s="2" t="s">
        <v>124</v>
      </c>
      <c r="C57" s="2" t="s">
        <v>53</v>
      </c>
      <c r="D57" s="2">
        <v>5000</v>
      </c>
      <c r="E57" s="2">
        <v>0</v>
      </c>
      <c r="F57" s="2">
        <f t="shared" si="6"/>
        <v>5000</v>
      </c>
      <c r="G57" s="2">
        <f t="shared" si="7"/>
        <v>500</v>
      </c>
      <c r="H57" s="2">
        <f t="shared" si="8"/>
        <v>4500</v>
      </c>
      <c r="I57" s="2" t="s">
        <v>30</v>
      </c>
      <c r="J57" s="9" t="s">
        <v>42</v>
      </c>
      <c r="K57" s="2" t="s">
        <v>44</v>
      </c>
      <c r="L57" s="2" t="s">
        <v>45</v>
      </c>
    </row>
    <row r="58" spans="1:12" x14ac:dyDescent="0.25">
      <c r="A58" s="58">
        <v>45900</v>
      </c>
      <c r="B58" s="2" t="s">
        <v>125</v>
      </c>
      <c r="C58" s="2" t="s">
        <v>126</v>
      </c>
      <c r="D58" s="2">
        <v>12000</v>
      </c>
      <c r="E58" s="2">
        <v>2000</v>
      </c>
      <c r="F58" s="2">
        <f t="shared" si="6"/>
        <v>14000</v>
      </c>
      <c r="G58" s="2">
        <f t="shared" si="7"/>
        <v>1400</v>
      </c>
      <c r="H58" s="2">
        <f t="shared" si="8"/>
        <v>12600</v>
      </c>
      <c r="I58" s="2" t="s">
        <v>34</v>
      </c>
      <c r="J58" s="10" t="str">
        <f>"Dr " &amp; SUMIF(I2:I70,"paid",G2:G70)</f>
        <v>Dr 103220</v>
      </c>
      <c r="K58" s="3" t="str">
        <f>"Cr " &amp; SUMIF(I2:I70,"pending",G2:G70)</f>
        <v>Cr 46180</v>
      </c>
      <c r="L58" s="4">
        <f>SUM(G2:G70)</f>
        <v>149400</v>
      </c>
    </row>
    <row r="59" spans="1:12" x14ac:dyDescent="0.25">
      <c r="A59" s="58">
        <v>45908</v>
      </c>
      <c r="B59" s="2" t="s">
        <v>127</v>
      </c>
      <c r="C59" s="2" t="s">
        <v>128</v>
      </c>
      <c r="D59" s="2">
        <v>25000</v>
      </c>
      <c r="E59" s="2">
        <v>15000</v>
      </c>
      <c r="F59" s="2">
        <f t="shared" si="6"/>
        <v>40000</v>
      </c>
      <c r="G59" s="2">
        <f t="shared" si="7"/>
        <v>4000</v>
      </c>
      <c r="H59" s="2">
        <f t="shared" si="8"/>
        <v>36000</v>
      </c>
      <c r="I59" s="2" t="s">
        <v>34</v>
      </c>
      <c r="J59" s="53"/>
      <c r="K59" s="54"/>
      <c r="L59" s="54"/>
    </row>
    <row r="60" spans="1:12" x14ac:dyDescent="0.25">
      <c r="A60" s="58">
        <v>45908</v>
      </c>
      <c r="B60" s="2" t="s">
        <v>129</v>
      </c>
      <c r="C60" s="2" t="s">
        <v>116</v>
      </c>
      <c r="D60" s="2">
        <v>46600</v>
      </c>
      <c r="E60" s="2">
        <v>27000</v>
      </c>
      <c r="F60" s="2">
        <f t="shared" si="6"/>
        <v>73600</v>
      </c>
      <c r="G60" s="2">
        <f t="shared" si="7"/>
        <v>7360</v>
      </c>
      <c r="H60" s="2">
        <f t="shared" si="8"/>
        <v>66240</v>
      </c>
      <c r="I60" s="2" t="s">
        <v>34</v>
      </c>
      <c r="J60" s="9" t="s">
        <v>26</v>
      </c>
      <c r="K60" s="2" t="s">
        <v>28</v>
      </c>
      <c r="L60" s="2" t="s">
        <v>27</v>
      </c>
    </row>
    <row r="61" spans="1:12" x14ac:dyDescent="0.25">
      <c r="A61" s="58">
        <v>45910</v>
      </c>
      <c r="B61" s="2" t="s">
        <v>131</v>
      </c>
      <c r="C61" s="2" t="s">
        <v>130</v>
      </c>
      <c r="D61" s="2">
        <v>20800</v>
      </c>
      <c r="E61" s="2">
        <v>15000</v>
      </c>
      <c r="F61" s="2">
        <f t="shared" si="6"/>
        <v>35800</v>
      </c>
      <c r="G61" s="2">
        <f t="shared" si="7"/>
        <v>3580</v>
      </c>
      <c r="H61" s="2">
        <f t="shared" si="8"/>
        <v>32220</v>
      </c>
      <c r="I61" s="2" t="s">
        <v>34</v>
      </c>
      <c r="J61" s="9" t="str">
        <f>"Cr "  &amp; SUMIF(I2:I70, "paid", H2:H70)</f>
        <v>Cr 928980</v>
      </c>
      <c r="K61" s="2" t="str">
        <f>"Dr " &amp;SUMIF(I2:I70, "pending", H2:H70)</f>
        <v>Dr 415620</v>
      </c>
      <c r="L61" s="4">
        <f>SUM(H2:H70)</f>
        <v>1344600</v>
      </c>
    </row>
    <row r="62" spans="1:12" x14ac:dyDescent="0.25">
      <c r="A62" s="58">
        <v>45910</v>
      </c>
      <c r="B62" s="2" t="s">
        <v>132</v>
      </c>
      <c r="C62" s="2" t="s">
        <v>133</v>
      </c>
      <c r="D62" s="48">
        <v>17000</v>
      </c>
      <c r="E62" s="48">
        <v>20000</v>
      </c>
      <c r="F62" s="2">
        <f t="shared" si="6"/>
        <v>37000</v>
      </c>
      <c r="G62" s="2">
        <f t="shared" si="7"/>
        <v>3700</v>
      </c>
      <c r="H62" s="2">
        <f t="shared" si="8"/>
        <v>33300</v>
      </c>
      <c r="I62" s="2" t="s">
        <v>34</v>
      </c>
    </row>
    <row r="63" spans="1:12" x14ac:dyDescent="0.25">
      <c r="A63" s="58">
        <v>45914</v>
      </c>
      <c r="B63" s="2" t="s">
        <v>134</v>
      </c>
      <c r="C63" s="2" t="s">
        <v>135</v>
      </c>
      <c r="D63" s="2">
        <v>19000</v>
      </c>
      <c r="E63" s="2">
        <v>7000</v>
      </c>
      <c r="F63" s="2">
        <f t="shared" si="6"/>
        <v>26000</v>
      </c>
      <c r="G63" s="2">
        <f t="shared" si="7"/>
        <v>2600</v>
      </c>
      <c r="H63" s="2">
        <f t="shared" si="8"/>
        <v>23400</v>
      </c>
      <c r="I63" s="2" t="s">
        <v>34</v>
      </c>
    </row>
    <row r="64" spans="1:12" x14ac:dyDescent="0.25">
      <c r="A64" s="58">
        <v>45915</v>
      </c>
      <c r="B64" s="2" t="s">
        <v>136</v>
      </c>
      <c r="C64" s="2" t="s">
        <v>137</v>
      </c>
      <c r="D64" s="2">
        <v>2000</v>
      </c>
      <c r="E64" s="2">
        <v>0</v>
      </c>
      <c r="F64" s="2">
        <f t="shared" si="6"/>
        <v>2000</v>
      </c>
      <c r="G64" s="2">
        <f t="shared" si="7"/>
        <v>200</v>
      </c>
      <c r="H64" s="2">
        <f t="shared" si="8"/>
        <v>1800</v>
      </c>
      <c r="I64" s="2" t="s">
        <v>34</v>
      </c>
    </row>
    <row r="65" spans="1:9" x14ac:dyDescent="0.25">
      <c r="A65" s="58">
        <v>45916</v>
      </c>
      <c r="B65" s="2" t="s">
        <v>138</v>
      </c>
      <c r="C65" s="2" t="s">
        <v>139</v>
      </c>
      <c r="D65" s="48">
        <v>15500</v>
      </c>
      <c r="E65" s="2">
        <v>6000</v>
      </c>
      <c r="F65" s="2">
        <f t="shared" si="6"/>
        <v>21500</v>
      </c>
      <c r="G65" s="2">
        <f t="shared" si="7"/>
        <v>2150</v>
      </c>
      <c r="H65" s="2">
        <f t="shared" si="8"/>
        <v>19350</v>
      </c>
      <c r="I65" s="2" t="s">
        <v>34</v>
      </c>
    </row>
    <row r="66" spans="1:9" x14ac:dyDescent="0.25">
      <c r="A66" s="58">
        <v>45919</v>
      </c>
      <c r="B66" s="2" t="s">
        <v>140</v>
      </c>
      <c r="C66" s="2" t="s">
        <v>141</v>
      </c>
      <c r="D66" s="48">
        <v>18600</v>
      </c>
      <c r="E66" s="2">
        <v>0</v>
      </c>
      <c r="F66" s="2">
        <f t="shared" si="6"/>
        <v>18600</v>
      </c>
      <c r="G66" s="2">
        <f t="shared" si="7"/>
        <v>1860</v>
      </c>
      <c r="H66" s="2">
        <f t="shared" si="8"/>
        <v>16740</v>
      </c>
      <c r="I66" s="2" t="s">
        <v>34</v>
      </c>
    </row>
    <row r="67" spans="1:9" x14ac:dyDescent="0.25">
      <c r="A67" s="6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6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6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6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6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6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6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6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6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6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6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6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6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6"/>
      <c r="B80" s="2"/>
      <c r="C80" s="2"/>
      <c r="D80" s="2"/>
      <c r="E80" s="2"/>
      <c r="F80" s="2"/>
      <c r="G80" s="2"/>
      <c r="H80" s="2"/>
      <c r="I80" s="2"/>
    </row>
  </sheetData>
  <sortState ref="A2:I24">
    <sortCondition ref="A1" customList="January,February,March,April,May,June,July,August,September,October,November,December"/>
  </sortState>
  <mergeCells count="2">
    <mergeCell ref="J59:L59"/>
    <mergeCell ref="J55:L55"/>
  </mergeCells>
  <pageMargins left="0.7" right="0.7" top="0.75" bottom="0.75" header="0.3" footer="0.3"/>
  <pageSetup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G9" sqref="G9"/>
    </sheetView>
  </sheetViews>
  <sheetFormatPr defaultRowHeight="15" x14ac:dyDescent="0.25"/>
  <cols>
    <col min="1" max="1" width="17" bestFit="1" customWidth="1"/>
    <col min="2" max="2" width="19.7109375" bestFit="1" customWidth="1"/>
    <col min="3" max="3" width="19.5703125" bestFit="1" customWidth="1"/>
  </cols>
  <sheetData>
    <row r="1" spans="1:3" x14ac:dyDescent="0.25">
      <c r="A1" s="56" t="s">
        <v>43</v>
      </c>
      <c r="B1" s="56"/>
      <c r="C1" s="56"/>
    </row>
    <row r="2" spans="1:3" x14ac:dyDescent="0.25">
      <c r="A2" s="2"/>
      <c r="B2" s="2"/>
      <c r="C2" s="2"/>
    </row>
    <row r="3" spans="1:3" x14ac:dyDescent="0.25">
      <c r="A3" s="2" t="s">
        <v>42</v>
      </c>
      <c r="B3" s="2" t="s">
        <v>44</v>
      </c>
      <c r="C3" s="2" t="s">
        <v>45</v>
      </c>
    </row>
    <row r="4" spans="1:3" x14ac:dyDescent="0.25">
      <c r="A4" s="3" t="e">
        <f>"Dr " &amp; SUMIF(#REF!,"paid",#REF!)</f>
        <v>#REF!</v>
      </c>
      <c r="B4" s="3" t="e">
        <f>"Cr " &amp; SUMIF(#REF!,"pending",#REF!)</f>
        <v>#REF!</v>
      </c>
      <c r="C4" s="4" t="e">
        <f>SUM(#REF!)</f>
        <v>#REF!</v>
      </c>
    </row>
    <row r="5" spans="1:3" x14ac:dyDescent="0.25">
      <c r="A5" s="54"/>
      <c r="B5" s="54"/>
      <c r="C5" s="54"/>
    </row>
    <row r="6" spans="1:3" x14ac:dyDescent="0.25">
      <c r="A6" s="2" t="s">
        <v>26</v>
      </c>
      <c r="B6" s="2" t="s">
        <v>28</v>
      </c>
      <c r="C6" s="2" t="s">
        <v>27</v>
      </c>
    </row>
    <row r="7" spans="1:3" x14ac:dyDescent="0.25">
      <c r="A7" s="2" t="e">
        <f>"Cr "  &amp; SUMIF(#REF!, "paid",#REF!)</f>
        <v>#REF!</v>
      </c>
      <c r="B7" s="2" t="e">
        <f>"Dr " &amp; SUMIF(#REF!, "pending",#REF!)</f>
        <v>#REF!</v>
      </c>
      <c r="C7" s="4" t="e">
        <f>SUM(#REF!)</f>
        <v>#REF!</v>
      </c>
    </row>
  </sheetData>
  <mergeCells count="2">
    <mergeCell ref="A1:C1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TDS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2025-09-20T12:21:15Z</dcterms:modified>
</cp:coreProperties>
</file>